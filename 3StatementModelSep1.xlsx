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steve\Downloads\"/>
    </mc:Choice>
  </mc:AlternateContent>
  <xr:revisionPtr revIDLastSave="0" documentId="13_ncr:1_{78037384-8A74-4634-B550-0C73BCD8EDB3}" xr6:coauthVersionLast="47" xr6:coauthVersionMax="47" xr10:uidLastSave="{00000000-0000-0000-0000-000000000000}"/>
  <bookViews>
    <workbookView xWindow="-120" yWindow="-120" windowWidth="29040" windowHeight="17520" xr2:uid="{BBA06F2D-0FDF-4472-A391-C5CDB0BF7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8" i="1" l="1"/>
  <c r="I58" i="1"/>
  <c r="J58" i="1"/>
  <c r="K58" i="1"/>
  <c r="G58" i="1"/>
  <c r="I75" i="1"/>
  <c r="H76" i="1"/>
  <c r="I76" i="1"/>
  <c r="J76" i="1"/>
  <c r="K76" i="1"/>
  <c r="H75" i="1"/>
  <c r="H78" i="1"/>
  <c r="I78" i="1"/>
  <c r="J75" i="1" s="1"/>
  <c r="J78" i="1" s="1"/>
  <c r="K75" i="1" s="1"/>
  <c r="K78" i="1" s="1"/>
  <c r="G78" i="1"/>
  <c r="G76" i="1"/>
  <c r="G75" i="1"/>
  <c r="H57" i="1"/>
  <c r="I57" i="1" s="1"/>
  <c r="J57" i="1" s="1"/>
  <c r="K57" i="1" s="1"/>
  <c r="G57" i="1"/>
  <c r="G67" i="1"/>
  <c r="G69" i="1" s="1"/>
  <c r="F56" i="1"/>
  <c r="E56" i="1"/>
  <c r="E59" i="1" s="1"/>
  <c r="H52" i="1"/>
  <c r="I52" i="1"/>
  <c r="J52" i="1"/>
  <c r="K52" i="1"/>
  <c r="G52" i="1"/>
  <c r="G51" i="1"/>
  <c r="E48" i="1"/>
  <c r="E53" i="1" s="1"/>
  <c r="F48" i="1"/>
  <c r="F53" i="1" s="1"/>
  <c r="D48" i="1"/>
  <c r="D53" i="1" s="1"/>
  <c r="N42" i="1"/>
  <c r="N37" i="1"/>
  <c r="E41" i="1"/>
  <c r="F41" i="1"/>
  <c r="D41" i="1"/>
  <c r="E37" i="1"/>
  <c r="F37" i="1"/>
  <c r="D37" i="1"/>
  <c r="E21" i="1"/>
  <c r="F21" i="1"/>
  <c r="D21" i="1"/>
  <c r="G21" i="1" s="1"/>
  <c r="H21" i="1" s="1"/>
  <c r="I21" i="1" s="1"/>
  <c r="J21" i="1" s="1"/>
  <c r="K21" i="1" s="1"/>
  <c r="D20" i="1"/>
  <c r="F20" i="1"/>
  <c r="E20" i="1"/>
  <c r="F19" i="1"/>
  <c r="E19" i="1"/>
  <c r="G19" i="1" s="1"/>
  <c r="E9" i="1"/>
  <c r="E13" i="1" s="1"/>
  <c r="F9" i="1"/>
  <c r="F13" i="1" s="1"/>
  <c r="D9" i="1"/>
  <c r="D13" i="1" s="1"/>
  <c r="E3" i="1"/>
  <c r="D3" i="1" s="1"/>
  <c r="G3" i="1"/>
  <c r="H3" i="1" s="1"/>
  <c r="I3" i="1" s="1"/>
  <c r="J3" i="1" s="1"/>
  <c r="K3" i="1" s="1"/>
  <c r="F59" i="1" l="1"/>
  <c r="F61" i="1" s="1"/>
  <c r="F63" i="1" s="1"/>
  <c r="G71" i="1"/>
  <c r="G73" i="1" s="1"/>
  <c r="G55" i="1"/>
  <c r="H67" i="1"/>
  <c r="H69" i="1" s="1"/>
  <c r="H51" i="1"/>
  <c r="E61" i="1"/>
  <c r="G47" i="1"/>
  <c r="G46" i="1"/>
  <c r="G29" i="1"/>
  <c r="G28" i="1"/>
  <c r="G20" i="1"/>
  <c r="H20" i="1" s="1"/>
  <c r="I20" i="1" s="1"/>
  <c r="J20" i="1" s="1"/>
  <c r="K20" i="1" s="1"/>
  <c r="G26" i="1"/>
  <c r="G25" i="1"/>
  <c r="E43" i="1"/>
  <c r="E62" i="1" s="1"/>
  <c r="D43" i="1"/>
  <c r="D62" i="1" s="1"/>
  <c r="F43" i="1"/>
  <c r="F62" i="1" s="1"/>
  <c r="G36" i="1"/>
  <c r="G34" i="1"/>
  <c r="H19" i="1"/>
  <c r="I19" i="1" s="1"/>
  <c r="J19" i="1" s="1"/>
  <c r="K19" i="1" s="1"/>
  <c r="G6" i="1"/>
  <c r="E16" i="1"/>
  <c r="E22" i="1"/>
  <c r="F16" i="1"/>
  <c r="F22" i="1"/>
  <c r="D16" i="1"/>
  <c r="D22" i="1"/>
  <c r="H71" i="1" l="1"/>
  <c r="H73" i="1" s="1"/>
  <c r="G56" i="1"/>
  <c r="G59" i="1" s="1"/>
  <c r="I67" i="1"/>
  <c r="I69" i="1" s="1"/>
  <c r="H55" i="1"/>
  <c r="H47" i="1"/>
  <c r="I47" i="1" s="1"/>
  <c r="J47" i="1" s="1"/>
  <c r="K47" i="1" s="1"/>
  <c r="E63" i="1"/>
  <c r="I51" i="1"/>
  <c r="G22" i="1"/>
  <c r="H22" i="1" s="1"/>
  <c r="I22" i="1" s="1"/>
  <c r="J22" i="1" s="1"/>
  <c r="K22" i="1" s="1"/>
  <c r="H29" i="1"/>
  <c r="I29" i="1" s="1"/>
  <c r="J29" i="1" s="1"/>
  <c r="K29" i="1" s="1"/>
  <c r="G40" i="1"/>
  <c r="H46" i="1"/>
  <c r="I46" i="1" s="1"/>
  <c r="J46" i="1" s="1"/>
  <c r="K46" i="1" s="1"/>
  <c r="H28" i="1"/>
  <c r="I28" i="1" s="1"/>
  <c r="J28" i="1" s="1"/>
  <c r="K28" i="1" s="1"/>
  <c r="G39" i="1"/>
  <c r="H26" i="1"/>
  <c r="H25" i="1"/>
  <c r="I25" i="1" s="1"/>
  <c r="J25" i="1" s="1"/>
  <c r="K25" i="1" s="1"/>
  <c r="H36" i="1"/>
  <c r="I36" i="1" s="1"/>
  <c r="J36" i="1" s="1"/>
  <c r="K36" i="1" s="1"/>
  <c r="H34" i="1"/>
  <c r="G7" i="1"/>
  <c r="G23" i="1" s="1"/>
  <c r="G8" i="1"/>
  <c r="H6" i="1"/>
  <c r="I71" i="1" l="1"/>
  <c r="I73" i="1" s="1"/>
  <c r="H56" i="1"/>
  <c r="H59" i="1" s="1"/>
  <c r="I55" i="1"/>
  <c r="J67" i="1"/>
  <c r="J69" i="1" s="1"/>
  <c r="G41" i="1"/>
  <c r="J51" i="1"/>
  <c r="H40" i="1"/>
  <c r="I40" i="1" s="1"/>
  <c r="J40" i="1" s="1"/>
  <c r="K40" i="1" s="1"/>
  <c r="I34" i="1"/>
  <c r="G35" i="1"/>
  <c r="G37" i="1" s="1"/>
  <c r="G45" i="1"/>
  <c r="I26" i="1"/>
  <c r="J26" i="1" s="1"/>
  <c r="K26" i="1" s="1"/>
  <c r="H39" i="1"/>
  <c r="G9" i="1"/>
  <c r="G13" i="1" s="1"/>
  <c r="H7" i="1"/>
  <c r="H23" i="1" s="1"/>
  <c r="H8" i="1"/>
  <c r="I6" i="1"/>
  <c r="G43" i="1" l="1"/>
  <c r="G62" i="1" s="1"/>
  <c r="I56" i="1"/>
  <c r="I59" i="1" s="1"/>
  <c r="J71" i="1"/>
  <c r="J73" i="1" s="1"/>
  <c r="J55" i="1"/>
  <c r="K67" i="1"/>
  <c r="K69" i="1" s="1"/>
  <c r="K55" i="1" s="1"/>
  <c r="K51" i="1"/>
  <c r="H35" i="1"/>
  <c r="H37" i="1" s="1"/>
  <c r="J34" i="1"/>
  <c r="H45" i="1"/>
  <c r="G48" i="1"/>
  <c r="G53" i="1" s="1"/>
  <c r="G61" i="1" s="1"/>
  <c r="I39" i="1"/>
  <c r="H41" i="1"/>
  <c r="G15" i="1"/>
  <c r="G16" i="1" s="1"/>
  <c r="H9" i="1"/>
  <c r="H13" i="1" s="1"/>
  <c r="H15" i="1" s="1"/>
  <c r="I7" i="1"/>
  <c r="I8" i="1"/>
  <c r="J6" i="1"/>
  <c r="G63" i="1" l="1"/>
  <c r="J56" i="1"/>
  <c r="J59" i="1" s="1"/>
  <c r="K71" i="1"/>
  <c r="K73" i="1" s="1"/>
  <c r="K56" i="1" s="1"/>
  <c r="K59" i="1" s="1"/>
  <c r="H43" i="1"/>
  <c r="H62" i="1" s="1"/>
  <c r="K34" i="1"/>
  <c r="H48" i="1"/>
  <c r="H53" i="1" s="1"/>
  <c r="H61" i="1" s="1"/>
  <c r="H63" i="1" s="1"/>
  <c r="I41" i="1"/>
  <c r="J39" i="1"/>
  <c r="H16" i="1"/>
  <c r="I23" i="1"/>
  <c r="I9" i="1"/>
  <c r="I13" i="1" s="1"/>
  <c r="I15" i="1" s="1"/>
  <c r="I16" i="1" s="1"/>
  <c r="J7" i="1"/>
  <c r="J8" i="1"/>
  <c r="K6" i="1"/>
  <c r="I35" i="1" l="1"/>
  <c r="I37" i="1" s="1"/>
  <c r="I43" i="1" s="1"/>
  <c r="I62" i="1" s="1"/>
  <c r="I45" i="1"/>
  <c r="I48" i="1" s="1"/>
  <c r="I53" i="1" s="1"/>
  <c r="I61" i="1" s="1"/>
  <c r="J41" i="1"/>
  <c r="K39" i="1"/>
  <c r="K41" i="1" s="1"/>
  <c r="J9" i="1"/>
  <c r="J13" i="1" s="1"/>
  <c r="J23" i="1"/>
  <c r="K7" i="1"/>
  <c r="K8" i="1"/>
  <c r="I63" i="1" l="1"/>
  <c r="J35" i="1"/>
  <c r="J37" i="1" s="1"/>
  <c r="J43" i="1" s="1"/>
  <c r="J62" i="1" s="1"/>
  <c r="J45" i="1"/>
  <c r="J48" i="1" s="1"/>
  <c r="J53" i="1" s="1"/>
  <c r="J61" i="1" s="1"/>
  <c r="J15" i="1"/>
  <c r="J16" i="1" s="1"/>
  <c r="K23" i="1"/>
  <c r="K9" i="1"/>
  <c r="K13" i="1" s="1"/>
  <c r="K15" i="1" s="1"/>
  <c r="K16" i="1" s="1"/>
  <c r="J63" i="1" l="1"/>
  <c r="K35" i="1"/>
  <c r="K37" i="1" s="1"/>
  <c r="K43" i="1" s="1"/>
  <c r="K62" i="1" s="1"/>
  <c r="K45" i="1"/>
  <c r="K48" i="1" s="1"/>
  <c r="K53" i="1" s="1"/>
  <c r="K61" i="1" s="1"/>
  <c r="D59" i="1"/>
  <c r="D61" i="1" s="1"/>
  <c r="D63" i="1" s="1"/>
  <c r="K63" i="1" l="1"/>
</calcChain>
</file>

<file path=xl/sharedStrings.xml><?xml version="1.0" encoding="utf-8"?>
<sst xmlns="http://schemas.openxmlformats.org/spreadsheetml/2006/main" count="74" uniqueCount="72">
  <si>
    <t>Actual</t>
  </si>
  <si>
    <t>Prediction</t>
  </si>
  <si>
    <t>$ in Millions</t>
  </si>
  <si>
    <t>Income Statement</t>
  </si>
  <si>
    <t>Revenue</t>
  </si>
  <si>
    <t>COGS</t>
  </si>
  <si>
    <t>Operating Exepnses</t>
  </si>
  <si>
    <t>Interest Income</t>
  </si>
  <si>
    <t xml:space="preserve">Interest Expense </t>
  </si>
  <si>
    <t>PreTax Profit</t>
  </si>
  <si>
    <t>Tax Expense</t>
  </si>
  <si>
    <t>Margins / Growth Rates</t>
  </si>
  <si>
    <t>Revenue Growth Rate</t>
  </si>
  <si>
    <t xml:space="preserve">Gross Margin </t>
  </si>
  <si>
    <t>Operating Expenses as % of Revenue</t>
  </si>
  <si>
    <t>Tax Expense as % of Profit</t>
  </si>
  <si>
    <t>Balance Sheet</t>
  </si>
  <si>
    <t>Cash &amp; Cash Equivalent</t>
  </si>
  <si>
    <t>Accounts Recieveable</t>
  </si>
  <si>
    <t>Current Assets</t>
  </si>
  <si>
    <t>Intangible Assets</t>
  </si>
  <si>
    <t>Non-Current Assets</t>
  </si>
  <si>
    <t>PP&amp;E</t>
  </si>
  <si>
    <t>Inventory</t>
  </si>
  <si>
    <t>Prepaid Expenses and Other WC Assets</t>
  </si>
  <si>
    <t>Total Assets</t>
  </si>
  <si>
    <t>Memo: COGS Growth Rate</t>
  </si>
  <si>
    <t xml:space="preserve">PP&amp;E - BOP </t>
  </si>
  <si>
    <t>CAPEX(purchase of new PP&amp;E)</t>
  </si>
  <si>
    <t>Depreciation Expenses</t>
  </si>
  <si>
    <t>PP&amp;E - EOP</t>
  </si>
  <si>
    <t>Memo: Depriciation in Opex and COGS</t>
  </si>
  <si>
    <t>Memo: Capital Expenditures</t>
  </si>
  <si>
    <t>Grow by CapEx  decline by depreciation</t>
  </si>
  <si>
    <t>Intangible - BOP</t>
  </si>
  <si>
    <t>Purchases of Intangibles</t>
  </si>
  <si>
    <t>Amortization Expense</t>
  </si>
  <si>
    <t>Intangible - EOP</t>
  </si>
  <si>
    <t>Memo: Amortization in opex and COGS</t>
  </si>
  <si>
    <t>Memo: Purchase of Intangibles</t>
  </si>
  <si>
    <t>Grow By Purchase of Intangibles; Decline by Amortization</t>
  </si>
  <si>
    <t>Accounts Payable</t>
  </si>
  <si>
    <t>Accrued Expenses &amp; Other</t>
  </si>
  <si>
    <t>Wages</t>
  </si>
  <si>
    <t>Other Current Liabilities</t>
  </si>
  <si>
    <t>Total Current Liabilites</t>
  </si>
  <si>
    <t>Long Term Debt</t>
  </si>
  <si>
    <t>Revolver</t>
  </si>
  <si>
    <t>Memo: Think about it as a Corporate Credit Card</t>
  </si>
  <si>
    <t>Other Liabilities</t>
  </si>
  <si>
    <t>Leases, ETC.</t>
  </si>
  <si>
    <t>Common Stock and APIC</t>
  </si>
  <si>
    <t>Treasury Stock</t>
  </si>
  <si>
    <t>Other Comprehensive Income</t>
  </si>
  <si>
    <t>Retained Earnings</t>
  </si>
  <si>
    <t>Total Equity</t>
  </si>
  <si>
    <t>Total Liabilities and Equity</t>
  </si>
  <si>
    <t>Operating Profit</t>
  </si>
  <si>
    <t>Net Income</t>
  </si>
  <si>
    <t>Total Liabilities</t>
  </si>
  <si>
    <t>Balance?</t>
  </si>
  <si>
    <t>Only Goes up if you issue stuff</t>
  </si>
  <si>
    <t>Common Stock and APIC-BOP</t>
  </si>
  <si>
    <t>New Issuances of Common Stock</t>
  </si>
  <si>
    <t>Forcasting Calendar</t>
  </si>
  <si>
    <t>Common Stock and APIC-EOP</t>
  </si>
  <si>
    <t>Treasury Stock- BOP</t>
  </si>
  <si>
    <t>New Repurchases</t>
  </si>
  <si>
    <t>Treasury Stock- EOP</t>
  </si>
  <si>
    <t>Retained Earnings - BOP</t>
  </si>
  <si>
    <t>Common Dividends</t>
  </si>
  <si>
    <t>Retained Earnings -EOP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</si>
</sst>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);\(#,##0.0\)"/>
    <numFmt numFmtId="165" formatCode="0.0%"/>
    <numFmt numFmtId="166" formatCode="#,##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 applyAlignment="1">
      <alignment horizontal="centerContinuous"/>
    </xf>
    <xf numFmtId="2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4" fontId="0" fillId="0" borderId="0" xfId="0" applyNumberFormat="1"/>
    <xf numFmtId="164" fontId="3" fillId="0" borderId="0" xfId="0" applyNumberFormat="1" applyFont="1"/>
    <xf numFmtId="0" fontId="0" fillId="2" borderId="0" xfId="0" applyFill="1"/>
    <xf numFmtId="0" fontId="4" fillId="0" borderId="0" xfId="0" applyFont="1"/>
    <xf numFmtId="0" fontId="3" fillId="0" borderId="0" xfId="0" applyFont="1"/>
    <xf numFmtId="166" fontId="1" fillId="0" borderId="0" xfId="0" applyNumberFormat="1" applyFont="1"/>
    <xf numFmtId="164" fontId="0" fillId="2" borderId="0" xfId="0" applyNumberFormat="1" applyFill="1"/>
    <xf numFmtId="0" fontId="0" fillId="0" borderId="1" xfId="0" applyBorder="1"/>
    <xf numFmtId="0" fontId="4" fillId="0" borderId="1" xfId="0" applyFont="1" applyBorder="1"/>
    <xf numFmtId="166" fontId="0" fillId="0" borderId="0" xfId="0" applyNumberFormat="1"/>
    <xf numFmtId="166" fontId="0" fillId="0" borderId="1" xfId="0" applyNumberFormat="1" applyBorder="1"/>
    <xf numFmtId="0" fontId="1" fillId="0" borderId="1" xfId="0" applyFont="1" applyBorder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1429-294A-48ED-9BD9-83A3EABEA0C5}">
  <dimension ref="A1:N78"/>
  <sheetViews>
    <sheetView tabSelected="1" topLeftCell="A46" workbookViewId="0">
      <selection activeCell="E72" sqref="E72"/>
    </sheetView>
  </sheetViews>
  <sheetFormatPr defaultRowHeight="15" x14ac:dyDescent="0.25"/>
  <cols>
    <col min="1" max="1" width="48.5703125" style="16" bestFit="1" customWidth="1"/>
    <col min="3" max="3" width="35" bestFit="1" customWidth="1"/>
    <col min="13" max="13" width="27.7109375" bestFit="1" customWidth="1"/>
  </cols>
  <sheetData>
    <row r="1" spans="1:11" x14ac:dyDescent="0.25">
      <c r="A1" s="16" t="s">
        <v>2</v>
      </c>
      <c r="C1">
        <v>-1</v>
      </c>
    </row>
    <row r="2" spans="1:11" x14ac:dyDescent="0.25">
      <c r="D2" s="2" t="s">
        <v>0</v>
      </c>
      <c r="E2" s="1"/>
      <c r="F2" s="1"/>
      <c r="G2" s="3" t="s">
        <v>1</v>
      </c>
      <c r="H2" s="3"/>
      <c r="I2" s="3"/>
      <c r="J2" s="3"/>
      <c r="K2" s="3"/>
    </row>
    <row r="3" spans="1:11" x14ac:dyDescent="0.25">
      <c r="D3">
        <f>E3-1</f>
        <v>2021</v>
      </c>
      <c r="E3">
        <f>F3-1</f>
        <v>2022</v>
      </c>
      <c r="F3">
        <v>2023</v>
      </c>
      <c r="G3">
        <f>F3+1</f>
        <v>2024</v>
      </c>
      <c r="H3">
        <f t="shared" ref="H3:K3" si="0">G3+1</f>
        <v>2025</v>
      </c>
      <c r="I3">
        <f t="shared" si="0"/>
        <v>2026</v>
      </c>
      <c r="J3">
        <f t="shared" si="0"/>
        <v>2027</v>
      </c>
      <c r="K3">
        <f t="shared" si="0"/>
        <v>2028</v>
      </c>
    </row>
    <row r="4" spans="1:11" x14ac:dyDescent="0.25">
      <c r="C4" s="4" t="s">
        <v>3</v>
      </c>
    </row>
    <row r="6" spans="1:11" x14ac:dyDescent="0.25">
      <c r="C6" t="s">
        <v>4</v>
      </c>
      <c r="D6" s="10">
        <v>1000</v>
      </c>
      <c r="E6" s="10">
        <v>1100</v>
      </c>
      <c r="F6" s="10">
        <v>1200</v>
      </c>
      <c r="G6" s="6">
        <f>F6*(1+G19)</f>
        <v>1314.5454545454545</v>
      </c>
      <c r="H6" s="6">
        <f t="shared" ref="H6:K6" si="1">G6*(1+H19)</f>
        <v>1440.0247933884298</v>
      </c>
      <c r="I6" s="6">
        <f t="shared" si="1"/>
        <v>1577.481705484598</v>
      </c>
      <c r="J6" s="6">
        <f t="shared" si="1"/>
        <v>1728.0595046444914</v>
      </c>
      <c r="K6" s="6">
        <f t="shared" si="1"/>
        <v>1893.0106391787383</v>
      </c>
    </row>
    <row r="7" spans="1:11" x14ac:dyDescent="0.25">
      <c r="C7" t="s">
        <v>5</v>
      </c>
      <c r="D7" s="10">
        <v>-600</v>
      </c>
      <c r="E7" s="10">
        <v>-700</v>
      </c>
      <c r="F7" s="10">
        <v>-775</v>
      </c>
      <c r="G7" s="6">
        <f>(G6*(1-G20))*-1</f>
        <v>-824.74449035812688</v>
      </c>
      <c r="H7" s="6">
        <f>(H6*(1-H20))*-1</f>
        <v>-903.47010080140262</v>
      </c>
      <c r="I7" s="6">
        <f>(I6*(1-I20))*-1</f>
        <v>-989.71042860517286</v>
      </c>
      <c r="J7" s="6">
        <f>(J6*(1-J20))*-1</f>
        <v>-1084.1827876993029</v>
      </c>
      <c r="K7" s="6">
        <f>(K6*(1-K20))*-1</f>
        <v>-1187.672962888782</v>
      </c>
    </row>
    <row r="8" spans="1:11" x14ac:dyDescent="0.25">
      <c r="C8" t="s">
        <v>6</v>
      </c>
      <c r="D8" s="10">
        <v>-150</v>
      </c>
      <c r="E8" s="10">
        <v>-165</v>
      </c>
      <c r="F8" s="10">
        <v>-175</v>
      </c>
      <c r="G8" s="6">
        <f>(G6*G21)*-1</f>
        <v>-195.35606060606059</v>
      </c>
      <c r="H8" s="6">
        <f>(H6*H21)*-1</f>
        <v>-214.00368457300274</v>
      </c>
      <c r="I8" s="6">
        <f>(I6*I21)*-1</f>
        <v>-234.43130900951664</v>
      </c>
      <c r="J8" s="6">
        <f>(J6*J21)*-1</f>
        <v>-256.80884305133412</v>
      </c>
      <c r="K8" s="6">
        <f>(K6*K21)*-1</f>
        <v>-281.32241443350694</v>
      </c>
    </row>
    <row r="9" spans="1:11" x14ac:dyDescent="0.25">
      <c r="C9" s="4" t="s">
        <v>57</v>
      </c>
      <c r="D9" s="7">
        <f>SUM(D6:D8)</f>
        <v>250</v>
      </c>
      <c r="E9" s="7">
        <f t="shared" ref="E9:F9" si="2">SUM(E6:E8)</f>
        <v>235</v>
      </c>
      <c r="F9" s="7">
        <f t="shared" si="2"/>
        <v>250</v>
      </c>
      <c r="G9" s="7">
        <f t="shared" ref="G9" si="3">SUM(G6:G8)</f>
        <v>294.444903581267</v>
      </c>
      <c r="H9" s="7">
        <f t="shared" ref="H9" si="4">SUM(H6:H8)</f>
        <v>322.55100801402443</v>
      </c>
      <c r="I9" s="7">
        <f t="shared" ref="I9" si="5">SUM(I6:I8)</f>
        <v>353.33996786990849</v>
      </c>
      <c r="J9" s="7">
        <f t="shared" ref="J9" si="6">SUM(J6:J8)</f>
        <v>387.06787389385437</v>
      </c>
      <c r="K9" s="7">
        <f t="shared" ref="K9" si="7">SUM(K6:K8)</f>
        <v>424.0152618564494</v>
      </c>
    </row>
    <row r="11" spans="1:11" x14ac:dyDescent="0.25">
      <c r="C11" t="s">
        <v>7</v>
      </c>
      <c r="D11" s="10">
        <v>5</v>
      </c>
      <c r="E11" s="10">
        <v>6</v>
      </c>
      <c r="F11" s="10">
        <v>7</v>
      </c>
      <c r="G11" s="11"/>
      <c r="H11" s="11"/>
      <c r="I11" s="11"/>
      <c r="J11" s="11"/>
      <c r="K11" s="11"/>
    </row>
    <row r="12" spans="1:11" x14ac:dyDescent="0.25">
      <c r="C12" t="s">
        <v>8</v>
      </c>
      <c r="D12" s="10">
        <v>-13</v>
      </c>
      <c r="E12" s="10">
        <v>-14</v>
      </c>
      <c r="F12" s="10">
        <v>-15</v>
      </c>
      <c r="G12" s="11"/>
      <c r="H12" s="11"/>
      <c r="I12" s="11"/>
      <c r="J12" s="11"/>
      <c r="K12" s="11"/>
    </row>
    <row r="13" spans="1:11" x14ac:dyDescent="0.25">
      <c r="C13" s="4" t="s">
        <v>9</v>
      </c>
      <c r="D13" s="7">
        <f>SUM(D9:D12)</f>
        <v>242</v>
      </c>
      <c r="E13" s="7">
        <f t="shared" ref="E13:F13" si="8">SUM(E9:E12)</f>
        <v>227</v>
      </c>
      <c r="F13" s="7">
        <f t="shared" si="8"/>
        <v>242</v>
      </c>
      <c r="G13" s="7">
        <f t="shared" ref="G13" si="9">SUM(G9:G12)</f>
        <v>294.444903581267</v>
      </c>
      <c r="H13" s="7">
        <f t="shared" ref="H13" si="10">SUM(H9:H12)</f>
        <v>322.55100801402443</v>
      </c>
      <c r="I13" s="7">
        <f t="shared" ref="I13" si="11">SUM(I9:I12)</f>
        <v>353.33996786990849</v>
      </c>
      <c r="J13" s="7">
        <f t="shared" ref="J13" si="12">SUM(J9:J12)</f>
        <v>387.06787389385437</v>
      </c>
      <c r="K13" s="7">
        <f t="shared" ref="K13" si="13">SUM(K9:K12)</f>
        <v>424.0152618564494</v>
      </c>
    </row>
    <row r="15" spans="1:11" x14ac:dyDescent="0.25">
      <c r="C15" t="s">
        <v>10</v>
      </c>
      <c r="D15" s="10">
        <v>-70</v>
      </c>
      <c r="E15" s="10">
        <v>-68</v>
      </c>
      <c r="F15" s="10">
        <v>-71</v>
      </c>
      <c r="G15" s="6">
        <f>(G13*G22)*-1</f>
        <v>-86.586833668638391</v>
      </c>
      <c r="H15" s="6">
        <f>(H13*H22)*-1</f>
        <v>-94.851940518826638</v>
      </c>
      <c r="I15" s="6">
        <f>(I13*I22)*-1</f>
        <v>-103.90598938653278</v>
      </c>
      <c r="J15" s="6">
        <f>(J13*J22)*-1</f>
        <v>-113.82428837342911</v>
      </c>
      <c r="K15" s="6">
        <f>(K13*K22)*-1</f>
        <v>-124.68933408180185</v>
      </c>
    </row>
    <row r="16" spans="1:11" x14ac:dyDescent="0.25">
      <c r="C16" s="4" t="s">
        <v>58</v>
      </c>
      <c r="D16" s="7">
        <f>SUM(D13:D15)</f>
        <v>172</v>
      </c>
      <c r="E16" s="7">
        <f t="shared" ref="E16:F16" si="14">SUM(E13:E15)</f>
        <v>159</v>
      </c>
      <c r="F16" s="7">
        <f t="shared" si="14"/>
        <v>171</v>
      </c>
      <c r="G16" s="7">
        <f t="shared" ref="G16" si="15">SUM(G13:G15)</f>
        <v>207.85806991262859</v>
      </c>
      <c r="H16" s="7">
        <f t="shared" ref="H16" si="16">SUM(H13:H15)</f>
        <v>227.6990674951978</v>
      </c>
      <c r="I16" s="7">
        <f t="shared" ref="I16" si="17">SUM(I13:I15)</f>
        <v>249.43397848337571</v>
      </c>
      <c r="J16" s="7">
        <f t="shared" ref="J16" si="18">SUM(J13:J15)</f>
        <v>273.24358552042526</v>
      </c>
      <c r="K16" s="7">
        <f t="shared" ref="K16" si="19">SUM(K13:K15)</f>
        <v>299.32592777464754</v>
      </c>
    </row>
    <row r="18" spans="3:11" x14ac:dyDescent="0.25">
      <c r="C18" s="5" t="s">
        <v>11</v>
      </c>
    </row>
    <row r="19" spans="3:11" x14ac:dyDescent="0.25">
      <c r="C19" t="s">
        <v>12</v>
      </c>
      <c r="E19" s="8">
        <f>E6/D6 - 1</f>
        <v>0.10000000000000009</v>
      </c>
      <c r="F19" s="8">
        <f>F6/E6 - 1</f>
        <v>9.0909090909090828E-2</v>
      </c>
      <c r="G19" s="8">
        <f>AVERAGE(E19:F19)</f>
        <v>9.5454545454545459E-2</v>
      </c>
      <c r="H19" s="8">
        <f>G19</f>
        <v>9.5454545454545459E-2</v>
      </c>
      <c r="I19" s="8">
        <f t="shared" ref="I19:K19" si="20">H19</f>
        <v>9.5454545454545459E-2</v>
      </c>
      <c r="J19" s="8">
        <f t="shared" si="20"/>
        <v>9.5454545454545459E-2</v>
      </c>
      <c r="K19" s="8">
        <f t="shared" si="20"/>
        <v>9.5454545454545459E-2</v>
      </c>
    </row>
    <row r="20" spans="3:11" x14ac:dyDescent="0.25">
      <c r="C20" t="s">
        <v>13</v>
      </c>
      <c r="D20" s="8">
        <f>1+ D7/D6</f>
        <v>0.4</v>
      </c>
      <c r="E20" s="8">
        <f>1+ E7/E6</f>
        <v>0.36363636363636365</v>
      </c>
      <c r="F20" s="8">
        <f>1+ F7/F6</f>
        <v>0.35416666666666663</v>
      </c>
      <c r="G20" s="8">
        <f>AVERAGE(D20:F20)</f>
        <v>0.37260101010101004</v>
      </c>
      <c r="H20" s="8">
        <f>G20</f>
        <v>0.37260101010101004</v>
      </c>
      <c r="I20" s="8">
        <f t="shared" ref="I20:K20" si="21">H20</f>
        <v>0.37260101010101004</v>
      </c>
      <c r="J20" s="8">
        <f t="shared" si="21"/>
        <v>0.37260101010101004</v>
      </c>
      <c r="K20" s="8">
        <f t="shared" si="21"/>
        <v>0.37260101010101004</v>
      </c>
    </row>
    <row r="21" spans="3:11" x14ac:dyDescent="0.25">
      <c r="C21" t="s">
        <v>14</v>
      </c>
      <c r="D21" s="8">
        <f>-D8/D6</f>
        <v>0.15</v>
      </c>
      <c r="E21" s="8">
        <f t="shared" ref="E21:F21" si="22">-E8/E6</f>
        <v>0.15</v>
      </c>
      <c r="F21" s="8">
        <f t="shared" si="22"/>
        <v>0.14583333333333334</v>
      </c>
      <c r="G21" s="8">
        <f>AVERAGE(D21:F21)</f>
        <v>0.14861111111111111</v>
      </c>
      <c r="H21" s="8">
        <f>G21</f>
        <v>0.14861111111111111</v>
      </c>
      <c r="I21" s="8">
        <f t="shared" ref="I21:K21" si="23">H21</f>
        <v>0.14861111111111111</v>
      </c>
      <c r="J21" s="8">
        <f t="shared" si="23"/>
        <v>0.14861111111111111</v>
      </c>
      <c r="K21" s="8">
        <f t="shared" si="23"/>
        <v>0.14861111111111111</v>
      </c>
    </row>
    <row r="22" spans="3:11" x14ac:dyDescent="0.25">
      <c r="C22" t="s">
        <v>15</v>
      </c>
      <c r="D22" s="8">
        <f>-D15/D13</f>
        <v>0.28925619834710742</v>
      </c>
      <c r="E22" s="8">
        <f t="shared" ref="E22:F22" si="24">-E15/E13</f>
        <v>0.29955947136563876</v>
      </c>
      <c r="F22" s="8">
        <f t="shared" si="24"/>
        <v>0.29338842975206614</v>
      </c>
      <c r="G22" s="8">
        <f>AVERAGE(D22:F22)</f>
        <v>0.29406803315493746</v>
      </c>
      <c r="H22" s="8">
        <f>G22</f>
        <v>0.29406803315493746</v>
      </c>
      <c r="I22" s="8">
        <f t="shared" ref="I22:K22" si="25">H22</f>
        <v>0.29406803315493746</v>
      </c>
      <c r="J22" s="8">
        <f t="shared" si="25"/>
        <v>0.29406803315493746</v>
      </c>
      <c r="K22" s="8">
        <f t="shared" si="25"/>
        <v>0.29406803315493746</v>
      </c>
    </row>
    <row r="23" spans="3:11" x14ac:dyDescent="0.25">
      <c r="C23" s="12" t="s">
        <v>26</v>
      </c>
      <c r="G23" s="8">
        <f>G7/F7 -1</f>
        <v>6.4186439171776577E-2</v>
      </c>
      <c r="H23" s="8">
        <f t="shared" ref="H23:K23" si="26">H7/G7 -1</f>
        <v>9.5454545454545459E-2</v>
      </c>
      <c r="I23" s="8">
        <f t="shared" si="26"/>
        <v>9.5454545454545459E-2</v>
      </c>
      <c r="J23" s="8">
        <f t="shared" si="26"/>
        <v>9.5454545454545459E-2</v>
      </c>
      <c r="K23" s="8">
        <f t="shared" si="26"/>
        <v>9.5454545454545459E-2</v>
      </c>
    </row>
    <row r="24" spans="3:11" x14ac:dyDescent="0.25">
      <c r="C24" s="12"/>
      <c r="G24" s="8"/>
      <c r="H24" s="8"/>
      <c r="I24" s="8"/>
      <c r="J24" s="8"/>
      <c r="K24" s="8"/>
    </row>
    <row r="25" spans="3:11" x14ac:dyDescent="0.25">
      <c r="C25" s="12" t="s">
        <v>31</v>
      </c>
      <c r="D25" s="10">
        <v>-25</v>
      </c>
      <c r="E25" s="10">
        <v>-30</v>
      </c>
      <c r="F25" s="10">
        <v>-35</v>
      </c>
      <c r="G25" s="6">
        <f>F25*(1+G19)</f>
        <v>-38.340909090909093</v>
      </c>
      <c r="H25" s="6">
        <f t="shared" ref="H25:K25" si="27">G25*(1+H19)</f>
        <v>-42.000723140495872</v>
      </c>
      <c r="I25" s="6">
        <f t="shared" si="27"/>
        <v>-46.009883076634111</v>
      </c>
      <c r="J25" s="6">
        <f t="shared" si="27"/>
        <v>-50.401735552131001</v>
      </c>
      <c r="K25" s="6">
        <f t="shared" si="27"/>
        <v>-55.212810309379869</v>
      </c>
    </row>
    <row r="26" spans="3:11" x14ac:dyDescent="0.25">
      <c r="C26" s="12" t="s">
        <v>32</v>
      </c>
      <c r="D26" s="10">
        <v>-35</v>
      </c>
      <c r="E26" s="10">
        <v>-40</v>
      </c>
      <c r="F26" s="10">
        <v>-67</v>
      </c>
      <c r="G26" s="6">
        <f>F26*(1+G19)</f>
        <v>-73.395454545454541</v>
      </c>
      <c r="H26" s="6">
        <f t="shared" ref="H26:K26" si="28">G26*(1+H19)</f>
        <v>-80.40138429752065</v>
      </c>
      <c r="I26" s="6">
        <f t="shared" si="28"/>
        <v>-88.076061889556712</v>
      </c>
      <c r="J26" s="6">
        <f t="shared" si="28"/>
        <v>-96.483322342650766</v>
      </c>
      <c r="K26" s="6">
        <f t="shared" si="28"/>
        <v>-105.69309402081288</v>
      </c>
    </row>
    <row r="27" spans="3:11" x14ac:dyDescent="0.25">
      <c r="C27" s="12"/>
      <c r="D27" s="10"/>
      <c r="E27" s="10"/>
      <c r="F27" s="10"/>
      <c r="G27" s="6"/>
      <c r="H27" s="6"/>
      <c r="I27" s="6"/>
      <c r="J27" s="6"/>
      <c r="K27" s="6"/>
    </row>
    <row r="28" spans="3:11" x14ac:dyDescent="0.25">
      <c r="C28" s="12" t="s">
        <v>38</v>
      </c>
      <c r="D28" s="10">
        <v>-10</v>
      </c>
      <c r="E28" s="10">
        <v>-12</v>
      </c>
      <c r="F28" s="10">
        <v>-14</v>
      </c>
      <c r="G28" s="6">
        <f>F28*(1+G19)</f>
        <v>-15.336363636363636</v>
      </c>
      <c r="H28" s="6">
        <f t="shared" ref="H28:K28" si="29">G28*(1+H19)</f>
        <v>-16.800289256198347</v>
      </c>
      <c r="I28" s="6">
        <f t="shared" si="29"/>
        <v>-18.403953230653645</v>
      </c>
      <c r="J28" s="6">
        <f t="shared" si="29"/>
        <v>-20.160694220852402</v>
      </c>
      <c r="K28" s="6">
        <f t="shared" si="29"/>
        <v>-22.08512412375195</v>
      </c>
    </row>
    <row r="29" spans="3:11" x14ac:dyDescent="0.25">
      <c r="C29" s="12" t="s">
        <v>39</v>
      </c>
      <c r="D29" s="10">
        <v>-16</v>
      </c>
      <c r="E29" s="10">
        <v>-18</v>
      </c>
      <c r="F29" s="10">
        <v>-21</v>
      </c>
      <c r="G29" s="6">
        <f>F29*(1+G19)</f>
        <v>-23.004545454545454</v>
      </c>
      <c r="H29" s="6">
        <f t="shared" ref="H29:K29" si="30">G29*(1+H19)</f>
        <v>-25.200433884297521</v>
      </c>
      <c r="I29" s="6">
        <f t="shared" si="30"/>
        <v>-27.605929845980466</v>
      </c>
      <c r="J29" s="6">
        <f t="shared" si="30"/>
        <v>-30.241041331278602</v>
      </c>
      <c r="K29" s="6">
        <f t="shared" si="30"/>
        <v>-33.127686185627923</v>
      </c>
    </row>
    <row r="31" spans="3:11" x14ac:dyDescent="0.25">
      <c r="C31" s="4" t="s">
        <v>16</v>
      </c>
    </row>
    <row r="33" spans="1:14" x14ac:dyDescent="0.25">
      <c r="C33" t="s">
        <v>17</v>
      </c>
      <c r="D33" s="13">
        <v>286</v>
      </c>
      <c r="E33" s="13">
        <v>296</v>
      </c>
      <c r="F33" s="13">
        <v>306</v>
      </c>
      <c r="G33" s="11"/>
      <c r="H33" s="11"/>
      <c r="I33" s="11"/>
      <c r="J33" s="11"/>
      <c r="K33" s="11"/>
    </row>
    <row r="34" spans="1:14" x14ac:dyDescent="0.25">
      <c r="C34" t="s">
        <v>18</v>
      </c>
      <c r="D34" s="13">
        <v>135</v>
      </c>
      <c r="E34" s="13">
        <v>145</v>
      </c>
      <c r="F34" s="13">
        <v>154</v>
      </c>
      <c r="G34" s="9">
        <f>F34*(1+G19)</f>
        <v>168.7</v>
      </c>
      <c r="H34" s="9">
        <f>G34*(1+H19)</f>
        <v>184.8031818181818</v>
      </c>
      <c r="I34" s="9">
        <f>H34*(1+I19)</f>
        <v>202.44348553719007</v>
      </c>
      <c r="J34" s="9">
        <f>I34*(1+J19)</f>
        <v>221.76763642937641</v>
      </c>
      <c r="K34" s="9">
        <f>J34*(1+K19)</f>
        <v>242.93636536127144</v>
      </c>
      <c r="M34" t="s">
        <v>27</v>
      </c>
      <c r="N34">
        <v>100</v>
      </c>
    </row>
    <row r="35" spans="1:14" x14ac:dyDescent="0.25">
      <c r="C35" t="s">
        <v>23</v>
      </c>
      <c r="D35" s="13">
        <v>265</v>
      </c>
      <c r="E35" s="13">
        <v>297</v>
      </c>
      <c r="F35" s="13">
        <v>345</v>
      </c>
      <c r="G35" s="9">
        <f>F35*(1+G23)</f>
        <v>367.14432151426291</v>
      </c>
      <c r="H35" s="9">
        <f>G35*(1+H23)</f>
        <v>402.18991584062439</v>
      </c>
      <c r="I35" s="9">
        <f>H35*(1+I23)</f>
        <v>440.58077144359311</v>
      </c>
      <c r="J35" s="9">
        <f>I35*(1+J23)</f>
        <v>482.63620871775424</v>
      </c>
      <c r="K35" s="9">
        <f>J35*(1+K23)</f>
        <v>528.70602864081263</v>
      </c>
      <c r="M35" t="s">
        <v>28</v>
      </c>
      <c r="N35">
        <v>20</v>
      </c>
    </row>
    <row r="36" spans="1:14" x14ac:dyDescent="0.25">
      <c r="C36" t="s">
        <v>24</v>
      </c>
      <c r="D36" s="13">
        <v>39</v>
      </c>
      <c r="E36" s="13">
        <v>41</v>
      </c>
      <c r="F36" s="13">
        <v>45</v>
      </c>
      <c r="G36" s="9">
        <f>F36*(1+G19)</f>
        <v>49.295454545454547</v>
      </c>
      <c r="H36" s="9">
        <f>G36*(1+H19)</f>
        <v>54.000929752066121</v>
      </c>
      <c r="I36" s="9">
        <f>H36*(1+I19)</f>
        <v>59.155563955672434</v>
      </c>
      <c r="J36" s="9">
        <f>I36*(1+J19)</f>
        <v>64.80223142416844</v>
      </c>
      <c r="K36" s="9">
        <f>J36*(1+K19)</f>
        <v>70.987898969202703</v>
      </c>
      <c r="M36" t="s">
        <v>29</v>
      </c>
      <c r="N36">
        <v>-10</v>
      </c>
    </row>
    <row r="37" spans="1:14" x14ac:dyDescent="0.25">
      <c r="C37" s="4" t="s">
        <v>19</v>
      </c>
      <c r="D37" s="14">
        <f>SUM(D33:D36)</f>
        <v>725</v>
      </c>
      <c r="E37" s="14">
        <f t="shared" ref="E37:F37" si="31">SUM(E33:E36)</f>
        <v>779</v>
      </c>
      <c r="F37" s="14">
        <f t="shared" si="31"/>
        <v>850</v>
      </c>
      <c r="G37" s="14">
        <f t="shared" ref="G37" si="32">SUM(G33:G36)</f>
        <v>585.13977605971741</v>
      </c>
      <c r="H37" s="14">
        <f t="shared" ref="H37" si="33">SUM(H33:H36)</f>
        <v>640.99402741087226</v>
      </c>
      <c r="I37" s="14">
        <f t="shared" ref="I37" si="34">SUM(I33:I36)</f>
        <v>702.1798209364556</v>
      </c>
      <c r="J37" s="14">
        <f t="shared" ref="J37" si="35">SUM(J33:J36)</f>
        <v>769.20607657129904</v>
      </c>
      <c r="K37" s="14">
        <f t="shared" ref="K37" si="36">SUM(K33:K36)</f>
        <v>842.63029297128674</v>
      </c>
      <c r="M37" t="s">
        <v>30</v>
      </c>
      <c r="N37">
        <f>SUM(N34:N36)</f>
        <v>110</v>
      </c>
    </row>
    <row r="38" spans="1:14" x14ac:dyDescent="0.25">
      <c r="C38" s="4"/>
    </row>
    <row r="39" spans="1:14" x14ac:dyDescent="0.25">
      <c r="A39" s="16" t="s">
        <v>33</v>
      </c>
      <c r="C39" t="s">
        <v>22</v>
      </c>
      <c r="D39" s="13">
        <v>210</v>
      </c>
      <c r="E39" s="13">
        <v>243</v>
      </c>
      <c r="F39" s="13">
        <v>265</v>
      </c>
      <c r="G39" s="6">
        <f>F39-G26+G25</f>
        <v>300.0545454545454</v>
      </c>
      <c r="H39" s="6">
        <f t="shared" ref="H39:K39" si="37">G39-H26+H25</f>
        <v>338.45520661157013</v>
      </c>
      <c r="I39" s="6">
        <f t="shared" si="37"/>
        <v>380.52138542449279</v>
      </c>
      <c r="J39" s="6">
        <f t="shared" si="37"/>
        <v>426.60297221501253</v>
      </c>
      <c r="K39" s="6">
        <f t="shared" si="37"/>
        <v>477.08325592644553</v>
      </c>
      <c r="M39" t="s">
        <v>34</v>
      </c>
      <c r="N39">
        <v>100</v>
      </c>
    </row>
    <row r="40" spans="1:14" x14ac:dyDescent="0.25">
      <c r="A40" s="16" t="s">
        <v>40</v>
      </c>
      <c r="C40" t="s">
        <v>20</v>
      </c>
      <c r="D40" s="13">
        <v>47</v>
      </c>
      <c r="E40" s="13">
        <v>56</v>
      </c>
      <c r="F40" s="13">
        <v>67</v>
      </c>
      <c r="G40" s="6">
        <f>F40-G29+G28</f>
        <v>74.668181818181807</v>
      </c>
      <c r="H40" s="6">
        <f t="shared" ref="H40:K40" si="38">G40-H29+H28</f>
        <v>83.068326446280992</v>
      </c>
      <c r="I40" s="6">
        <f t="shared" si="38"/>
        <v>92.270303061607819</v>
      </c>
      <c r="J40" s="6">
        <f t="shared" si="38"/>
        <v>102.35065017203402</v>
      </c>
      <c r="K40" s="6">
        <f t="shared" si="38"/>
        <v>113.39321223390998</v>
      </c>
      <c r="M40" t="s">
        <v>35</v>
      </c>
      <c r="N40">
        <v>20</v>
      </c>
    </row>
    <row r="41" spans="1:14" x14ac:dyDescent="0.25">
      <c r="C41" s="4" t="s">
        <v>21</v>
      </c>
      <c r="D41" s="14">
        <f>SUM(D39:D40)</f>
        <v>257</v>
      </c>
      <c r="E41" s="14">
        <f t="shared" ref="E41:F41" si="39">SUM(E39:E40)</f>
        <v>299</v>
      </c>
      <c r="F41" s="14">
        <f t="shared" si="39"/>
        <v>332</v>
      </c>
      <c r="G41" s="14">
        <f t="shared" ref="G41" si="40">SUM(G39:G40)</f>
        <v>374.72272727272718</v>
      </c>
      <c r="H41" s="14">
        <f t="shared" ref="H41" si="41">SUM(H39:H40)</f>
        <v>421.52353305785113</v>
      </c>
      <c r="I41" s="14">
        <f t="shared" ref="I41" si="42">SUM(I39:I40)</f>
        <v>472.79168848610061</v>
      </c>
      <c r="J41" s="14">
        <f t="shared" ref="J41" si="43">SUM(J39:J40)</f>
        <v>528.95362238704661</v>
      </c>
      <c r="K41" s="14">
        <f t="shared" ref="K41" si="44">SUM(K39:K40)</f>
        <v>590.47646816035547</v>
      </c>
      <c r="M41" t="s">
        <v>36</v>
      </c>
      <c r="N41">
        <v>-10</v>
      </c>
    </row>
    <row r="42" spans="1:14" x14ac:dyDescent="0.25">
      <c r="M42" t="s">
        <v>37</v>
      </c>
      <c r="N42">
        <f>SUM(N39:N41)</f>
        <v>110</v>
      </c>
    </row>
    <row r="43" spans="1:14" x14ac:dyDescent="0.25">
      <c r="C43" s="4" t="s">
        <v>25</v>
      </c>
      <c r="D43" s="14">
        <f>D41+D37</f>
        <v>982</v>
      </c>
      <c r="E43" s="14">
        <f t="shared" ref="E43:K43" si="45">E41+E37</f>
        <v>1078</v>
      </c>
      <c r="F43" s="14">
        <f t="shared" si="45"/>
        <v>1182</v>
      </c>
      <c r="G43" s="14">
        <f t="shared" si="45"/>
        <v>959.86250333244459</v>
      </c>
      <c r="H43" s="14">
        <f t="shared" si="45"/>
        <v>1062.5175604687233</v>
      </c>
      <c r="I43" s="14">
        <f t="shared" si="45"/>
        <v>1174.9715094225562</v>
      </c>
      <c r="J43" s="14">
        <f t="shared" si="45"/>
        <v>1298.1596989583456</v>
      </c>
      <c r="K43" s="14">
        <f t="shared" si="45"/>
        <v>1433.1067611316421</v>
      </c>
    </row>
    <row r="45" spans="1:14" x14ac:dyDescent="0.25">
      <c r="C45" t="s">
        <v>41</v>
      </c>
      <c r="D45" s="10">
        <v>45</v>
      </c>
      <c r="E45" s="10">
        <v>47</v>
      </c>
      <c r="F45" s="10">
        <v>49</v>
      </c>
      <c r="G45" s="6">
        <f>F45*(1+G23)</f>
        <v>52.145135519417053</v>
      </c>
      <c r="H45" s="6">
        <f t="shared" ref="H45:K45" si="46">G45*(1+H23)</f>
        <v>57.122625728088678</v>
      </c>
      <c r="I45" s="6">
        <f t="shared" si="46"/>
        <v>62.575240002133505</v>
      </c>
      <c r="J45" s="6">
        <f t="shared" si="46"/>
        <v>68.548331093246247</v>
      </c>
      <c r="K45" s="6">
        <f t="shared" si="46"/>
        <v>75.091580879419752</v>
      </c>
    </row>
    <row r="46" spans="1:14" x14ac:dyDescent="0.25">
      <c r="A46" s="16" t="s">
        <v>43</v>
      </c>
      <c r="C46" t="s">
        <v>42</v>
      </c>
      <c r="D46" s="10">
        <v>32</v>
      </c>
      <c r="E46" s="10">
        <v>37</v>
      </c>
      <c r="F46" s="10">
        <v>47</v>
      </c>
      <c r="G46" s="6">
        <f>F46*(1+G19)</f>
        <v>51.486363636363635</v>
      </c>
      <c r="H46" s="6">
        <f t="shared" ref="H46:K46" si="47">G46*(1+H19)</f>
        <v>56.400971074380166</v>
      </c>
      <c r="I46" s="6">
        <f t="shared" si="47"/>
        <v>61.784700131480093</v>
      </c>
      <c r="J46" s="6">
        <f t="shared" si="47"/>
        <v>67.682330598575916</v>
      </c>
      <c r="K46" s="6">
        <f t="shared" si="47"/>
        <v>74.142916701167252</v>
      </c>
    </row>
    <row r="47" spans="1:14" x14ac:dyDescent="0.25">
      <c r="C47" t="s">
        <v>44</v>
      </c>
      <c r="D47" s="10">
        <v>112</v>
      </c>
      <c r="E47" s="10">
        <v>143</v>
      </c>
      <c r="F47" s="10">
        <v>167</v>
      </c>
      <c r="G47" s="6">
        <f>F47*(1+G19)</f>
        <v>182.94090909090909</v>
      </c>
      <c r="H47" s="6">
        <f t="shared" ref="H47:K47" si="48">G47*(1+H19)</f>
        <v>200.40345041322314</v>
      </c>
      <c r="I47" s="6">
        <f t="shared" si="48"/>
        <v>219.53287067993989</v>
      </c>
      <c r="J47" s="6">
        <f t="shared" si="48"/>
        <v>240.48828106302506</v>
      </c>
      <c r="K47" s="6">
        <f t="shared" si="48"/>
        <v>263.4439806190411</v>
      </c>
    </row>
    <row r="48" spans="1:14" x14ac:dyDescent="0.25">
      <c r="C48" s="4" t="s">
        <v>45</v>
      </c>
      <c r="D48" s="7">
        <f>SUM(D45:D47)</f>
        <v>189</v>
      </c>
      <c r="E48" s="7">
        <f t="shared" ref="E48:F48" si="49">SUM(E45:E47)</f>
        <v>227</v>
      </c>
      <c r="F48" s="7">
        <f t="shared" si="49"/>
        <v>263</v>
      </c>
      <c r="G48" s="7">
        <f t="shared" ref="G48" si="50">SUM(G45:G47)</f>
        <v>286.57240824668975</v>
      </c>
      <c r="H48" s="7">
        <f t="shared" ref="H48" si="51">SUM(H45:H47)</f>
        <v>313.92704721569197</v>
      </c>
      <c r="I48" s="7">
        <f t="shared" ref="I48" si="52">SUM(I45:I47)</f>
        <v>343.89281081355352</v>
      </c>
      <c r="J48" s="7">
        <f t="shared" ref="J48" si="53">SUM(J45:J47)</f>
        <v>376.71894275484721</v>
      </c>
      <c r="K48" s="7">
        <f t="shared" ref="K48" si="54">SUM(K45:K47)</f>
        <v>412.6784781996281</v>
      </c>
    </row>
    <row r="49" spans="1:11" x14ac:dyDescent="0.25">
      <c r="C49" s="4"/>
      <c r="D49" s="7"/>
      <c r="E49" s="7"/>
      <c r="F49" s="7"/>
      <c r="G49" s="7"/>
      <c r="H49" s="7"/>
      <c r="I49" s="7"/>
      <c r="J49" s="7"/>
      <c r="K49" s="7"/>
    </row>
    <row r="50" spans="1:11" x14ac:dyDescent="0.25">
      <c r="A50" s="17" t="s">
        <v>48</v>
      </c>
      <c r="C50" t="s">
        <v>47</v>
      </c>
      <c r="D50" s="10">
        <v>0</v>
      </c>
      <c r="E50" s="10">
        <v>12</v>
      </c>
      <c r="F50" s="10">
        <v>5</v>
      </c>
      <c r="G50" s="15"/>
      <c r="H50" s="15"/>
      <c r="I50" s="15"/>
      <c r="J50" s="15"/>
      <c r="K50" s="15"/>
    </row>
    <row r="51" spans="1:11" x14ac:dyDescent="0.25">
      <c r="C51" t="s">
        <v>46</v>
      </c>
      <c r="D51" s="10">
        <v>167</v>
      </c>
      <c r="E51" s="10">
        <v>178</v>
      </c>
      <c r="F51" s="10">
        <v>186</v>
      </c>
      <c r="G51" s="6">
        <f>F51</f>
        <v>186</v>
      </c>
      <c r="H51" s="6">
        <f t="shared" ref="H51:K51" si="55">G51</f>
        <v>186</v>
      </c>
      <c r="I51" s="6">
        <f t="shared" si="55"/>
        <v>186</v>
      </c>
      <c r="J51" s="6">
        <f t="shared" si="55"/>
        <v>186</v>
      </c>
      <c r="K51" s="6">
        <f t="shared" si="55"/>
        <v>186</v>
      </c>
    </row>
    <row r="52" spans="1:11" x14ac:dyDescent="0.25">
      <c r="A52" s="16" t="s">
        <v>50</v>
      </c>
      <c r="C52" t="s">
        <v>49</v>
      </c>
      <c r="D52" s="10">
        <v>45</v>
      </c>
      <c r="E52" s="10">
        <v>47</v>
      </c>
      <c r="F52" s="10">
        <v>49</v>
      </c>
      <c r="G52" s="6">
        <f>49</f>
        <v>49</v>
      </c>
      <c r="H52" s="6">
        <f>49</f>
        <v>49</v>
      </c>
      <c r="I52" s="6">
        <f>49</f>
        <v>49</v>
      </c>
      <c r="J52" s="6">
        <f>49</f>
        <v>49</v>
      </c>
      <c r="K52" s="6">
        <f>49</f>
        <v>49</v>
      </c>
    </row>
    <row r="53" spans="1:11" x14ac:dyDescent="0.25">
      <c r="C53" s="4" t="s">
        <v>59</v>
      </c>
      <c r="D53" s="7">
        <f>SUM(D50:D52)+D48</f>
        <v>401</v>
      </c>
      <c r="E53" s="7">
        <f t="shared" ref="E53:K53" si="56">SUM(E50:E52)+E48</f>
        <v>464</v>
      </c>
      <c r="F53" s="7">
        <f t="shared" si="56"/>
        <v>503</v>
      </c>
      <c r="G53" s="7">
        <f t="shared" si="56"/>
        <v>521.57240824668975</v>
      </c>
      <c r="H53" s="7">
        <f t="shared" si="56"/>
        <v>548.92704721569203</v>
      </c>
      <c r="I53" s="7">
        <f t="shared" si="56"/>
        <v>578.89281081355352</v>
      </c>
      <c r="J53" s="7">
        <f t="shared" si="56"/>
        <v>611.71894275484715</v>
      </c>
      <c r="K53" s="7">
        <f t="shared" si="56"/>
        <v>647.6784781996281</v>
      </c>
    </row>
    <row r="55" spans="1:11" x14ac:dyDescent="0.25">
      <c r="C55" t="s">
        <v>51</v>
      </c>
      <c r="D55" s="10">
        <v>35</v>
      </c>
      <c r="E55" s="10">
        <v>37</v>
      </c>
      <c r="F55" s="10">
        <v>39</v>
      </c>
      <c r="G55" s="6">
        <f>G69</f>
        <v>44</v>
      </c>
      <c r="H55" s="6">
        <f t="shared" ref="H55:K55" si="57">H69</f>
        <v>49</v>
      </c>
      <c r="I55" s="6">
        <f t="shared" si="57"/>
        <v>54</v>
      </c>
      <c r="J55" s="6">
        <f t="shared" si="57"/>
        <v>59</v>
      </c>
      <c r="K55" s="6">
        <f t="shared" si="57"/>
        <v>64</v>
      </c>
    </row>
    <row r="56" spans="1:11" x14ac:dyDescent="0.25">
      <c r="C56" t="s">
        <v>52</v>
      </c>
      <c r="D56" s="10">
        <v>-145</v>
      </c>
      <c r="E56" s="10">
        <f>-178</f>
        <v>-178</v>
      </c>
      <c r="F56" s="10">
        <f>-210</f>
        <v>-210</v>
      </c>
      <c r="G56" s="6">
        <f>G73</f>
        <v>-230</v>
      </c>
      <c r="H56" s="6">
        <f t="shared" ref="H56:K56" si="58">H73</f>
        <v>-250</v>
      </c>
      <c r="I56" s="6">
        <f t="shared" si="58"/>
        <v>-270</v>
      </c>
      <c r="J56" s="6">
        <f t="shared" si="58"/>
        <v>-290</v>
      </c>
      <c r="K56" s="6">
        <f t="shared" si="58"/>
        <v>-310</v>
      </c>
    </row>
    <row r="57" spans="1:11" x14ac:dyDescent="0.25">
      <c r="C57" t="s">
        <v>53</v>
      </c>
      <c r="D57" s="10">
        <v>-7</v>
      </c>
      <c r="E57" s="10">
        <v>12</v>
      </c>
      <c r="F57" s="10">
        <v>43</v>
      </c>
      <c r="G57" s="6">
        <f>F57</f>
        <v>43</v>
      </c>
      <c r="H57" s="6">
        <f t="shared" ref="H57:K57" si="59">G57</f>
        <v>43</v>
      </c>
      <c r="I57" s="6">
        <f t="shared" si="59"/>
        <v>43</v>
      </c>
      <c r="J57" s="6">
        <f t="shared" si="59"/>
        <v>43</v>
      </c>
      <c r="K57" s="6">
        <f t="shared" si="59"/>
        <v>43</v>
      </c>
    </row>
    <row r="58" spans="1:11" x14ac:dyDescent="0.25">
      <c r="A58" s="19"/>
      <c r="C58" t="s">
        <v>54</v>
      </c>
      <c r="D58" s="10">
        <v>698</v>
      </c>
      <c r="E58" s="10">
        <v>743</v>
      </c>
      <c r="F58" s="10">
        <v>807</v>
      </c>
      <c r="G58" s="6">
        <f>G78</f>
        <v>864.85806991262859</v>
      </c>
      <c r="H58" s="6">
        <f t="shared" ref="H58:K58" si="60">H78</f>
        <v>942.5571374078263</v>
      </c>
      <c r="I58" s="6">
        <f t="shared" si="60"/>
        <v>1041.9911158912021</v>
      </c>
      <c r="J58" s="6">
        <f t="shared" si="60"/>
        <v>1165.2347014116274</v>
      </c>
      <c r="K58" s="6">
        <f t="shared" si="60"/>
        <v>1314.560629186275</v>
      </c>
    </row>
    <row r="59" spans="1:11" x14ac:dyDescent="0.25">
      <c r="C59" t="s">
        <v>55</v>
      </c>
      <c r="D59" s="6">
        <f>SUM(D55:D58)</f>
        <v>581</v>
      </c>
      <c r="E59" s="6">
        <f t="shared" ref="E59:K59" si="61">SUM(E55:E58)</f>
        <v>614</v>
      </c>
      <c r="F59" s="6">
        <f t="shared" si="61"/>
        <v>679</v>
      </c>
      <c r="G59" s="6">
        <f t="shared" si="61"/>
        <v>721.85806991262859</v>
      </c>
      <c r="H59" s="6">
        <f t="shared" si="61"/>
        <v>784.5571374078263</v>
      </c>
      <c r="I59" s="6">
        <f t="shared" si="61"/>
        <v>868.99111589120207</v>
      </c>
      <c r="J59" s="6">
        <f t="shared" si="61"/>
        <v>977.23470141162738</v>
      </c>
      <c r="K59" s="6">
        <f t="shared" si="61"/>
        <v>1111.560629186275</v>
      </c>
    </row>
    <row r="61" spans="1:11" x14ac:dyDescent="0.25">
      <c r="C61" t="s">
        <v>56</v>
      </c>
      <c r="D61" s="6">
        <f>D59+D53</f>
        <v>982</v>
      </c>
      <c r="E61" s="6">
        <f t="shared" ref="E61:K61" si="62">E59+E53</f>
        <v>1078</v>
      </c>
      <c r="F61" s="6">
        <f t="shared" si="62"/>
        <v>1182</v>
      </c>
      <c r="G61" s="6">
        <f t="shared" si="62"/>
        <v>1243.4304781593182</v>
      </c>
      <c r="H61" s="6">
        <f t="shared" si="62"/>
        <v>1333.4841846235183</v>
      </c>
      <c r="I61" s="6">
        <f t="shared" si="62"/>
        <v>1447.8839267047556</v>
      </c>
      <c r="J61" s="6">
        <f t="shared" si="62"/>
        <v>1588.9536441664745</v>
      </c>
      <c r="K61" s="6">
        <f t="shared" si="62"/>
        <v>1759.239107385903</v>
      </c>
    </row>
    <row r="62" spans="1:11" x14ac:dyDescent="0.25">
      <c r="C62" t="s">
        <v>25</v>
      </c>
      <c r="D62" s="18">
        <f>D43</f>
        <v>982</v>
      </c>
      <c r="E62" s="18">
        <f t="shared" ref="E62:K62" si="63">E43</f>
        <v>1078</v>
      </c>
      <c r="F62" s="18">
        <f t="shared" si="63"/>
        <v>1182</v>
      </c>
      <c r="G62" s="18">
        <f t="shared" si="63"/>
        <v>959.86250333244459</v>
      </c>
      <c r="H62" s="18">
        <f t="shared" si="63"/>
        <v>1062.5175604687233</v>
      </c>
      <c r="I62" s="18">
        <f t="shared" si="63"/>
        <v>1174.9715094225562</v>
      </c>
      <c r="J62" s="18">
        <f t="shared" si="63"/>
        <v>1298.1596989583456</v>
      </c>
      <c r="K62" s="18">
        <f t="shared" si="63"/>
        <v>1433.1067611316421</v>
      </c>
    </row>
    <row r="63" spans="1:11" x14ac:dyDescent="0.25">
      <c r="C63" t="s">
        <v>60</v>
      </c>
      <c r="D63" s="6">
        <f>D61-D62</f>
        <v>0</v>
      </c>
      <c r="E63" s="6">
        <f t="shared" ref="E63:K63" si="64">E61-E62</f>
        <v>0</v>
      </c>
      <c r="F63" s="6">
        <f t="shared" si="64"/>
        <v>0</v>
      </c>
      <c r="G63" s="6">
        <f t="shared" si="64"/>
        <v>283.56797482687364</v>
      </c>
      <c r="H63" s="6">
        <f t="shared" si="64"/>
        <v>270.966624154795</v>
      </c>
      <c r="I63" s="6">
        <f t="shared" si="64"/>
        <v>272.91241728219939</v>
      </c>
      <c r="J63" s="6">
        <f t="shared" si="64"/>
        <v>290.79394520812889</v>
      </c>
      <c r="K63" s="6">
        <f t="shared" si="64"/>
        <v>326.13234625426094</v>
      </c>
    </row>
    <row r="66" spans="1:11" x14ac:dyDescent="0.25">
      <c r="A66" s="20" t="s">
        <v>64</v>
      </c>
    </row>
    <row r="67" spans="1:11" x14ac:dyDescent="0.25">
      <c r="A67" s="16" t="s">
        <v>61</v>
      </c>
      <c r="C67" t="s">
        <v>62</v>
      </c>
      <c r="F67" s="6"/>
      <c r="G67" s="21">
        <f>F55</f>
        <v>39</v>
      </c>
      <c r="H67" s="6">
        <f>G69</f>
        <v>44</v>
      </c>
      <c r="I67" s="6">
        <f t="shared" ref="I67:K67" si="65">H69</f>
        <v>49</v>
      </c>
      <c r="J67" s="6">
        <f t="shared" si="65"/>
        <v>54</v>
      </c>
      <c r="K67" s="6">
        <f t="shared" si="65"/>
        <v>59</v>
      </c>
    </row>
    <row r="68" spans="1:11" x14ac:dyDescent="0.25">
      <c r="C68" t="s">
        <v>63</v>
      </c>
      <c r="G68" s="10">
        <v>5</v>
      </c>
      <c r="H68" s="10">
        <v>5</v>
      </c>
      <c r="I68" s="10">
        <v>5</v>
      </c>
      <c r="J68" s="10">
        <v>5</v>
      </c>
      <c r="K68" s="10">
        <v>5</v>
      </c>
    </row>
    <row r="69" spans="1:11" x14ac:dyDescent="0.25">
      <c r="C69" s="4" t="s">
        <v>65</v>
      </c>
      <c r="G69" s="7">
        <f>SUM(G67:G68)</f>
        <v>44</v>
      </c>
      <c r="H69" s="7">
        <f t="shared" ref="H69:K69" si="66">SUM(H67:H68)</f>
        <v>49</v>
      </c>
      <c r="I69" s="7">
        <f t="shared" si="66"/>
        <v>54</v>
      </c>
      <c r="J69" s="7">
        <f t="shared" si="66"/>
        <v>59</v>
      </c>
      <c r="K69" s="7">
        <f t="shared" si="66"/>
        <v>64</v>
      </c>
    </row>
    <row r="70" spans="1:11" x14ac:dyDescent="0.25">
      <c r="C70" s="4"/>
      <c r="G70" s="7"/>
      <c r="H70" s="7"/>
      <c r="I70" s="7"/>
      <c r="J70" s="7"/>
      <c r="K70" s="7"/>
    </row>
    <row r="71" spans="1:11" x14ac:dyDescent="0.25">
      <c r="C71" t="s">
        <v>66</v>
      </c>
      <c r="G71" s="6">
        <f>F56</f>
        <v>-210</v>
      </c>
      <c r="H71" s="6">
        <f>G73</f>
        <v>-230</v>
      </c>
      <c r="I71" s="6">
        <f t="shared" ref="I71:K71" si="67">H73</f>
        <v>-250</v>
      </c>
      <c r="J71" s="6">
        <f t="shared" si="67"/>
        <v>-270</v>
      </c>
      <c r="K71" s="6">
        <f t="shared" si="67"/>
        <v>-290</v>
      </c>
    </row>
    <row r="72" spans="1:11" x14ac:dyDescent="0.25">
      <c r="C72" t="s">
        <v>67</v>
      </c>
      <c r="G72" s="10">
        <v>-20</v>
      </c>
      <c r="H72" s="10">
        <v>-20</v>
      </c>
      <c r="I72" s="10">
        <v>-20</v>
      </c>
      <c r="J72" s="10">
        <v>-20</v>
      </c>
      <c r="K72" s="10">
        <v>-20</v>
      </c>
    </row>
    <row r="73" spans="1:11" x14ac:dyDescent="0.25">
      <c r="C73" s="4" t="s">
        <v>68</v>
      </c>
      <c r="D73" s="4"/>
      <c r="E73" s="4"/>
      <c r="F73" s="4"/>
      <c r="G73" s="7">
        <f>SUM(G71:G72)</f>
        <v>-230</v>
      </c>
      <c r="H73" s="7">
        <f t="shared" ref="H73:K73" si="68">SUM(H71:H72)</f>
        <v>-250</v>
      </c>
      <c r="I73" s="7">
        <f t="shared" si="68"/>
        <v>-270</v>
      </c>
      <c r="J73" s="7">
        <f t="shared" si="68"/>
        <v>-290</v>
      </c>
      <c r="K73" s="7">
        <f t="shared" si="68"/>
        <v>-310</v>
      </c>
    </row>
    <row r="74" spans="1:11" x14ac:dyDescent="0.25">
      <c r="G74" s="6"/>
      <c r="H74" s="6"/>
      <c r="I74" s="6"/>
      <c r="J74" s="6"/>
      <c r="K74" s="6"/>
    </row>
    <row r="75" spans="1:11" x14ac:dyDescent="0.25">
      <c r="C75" t="s">
        <v>69</v>
      </c>
      <c r="G75" s="6">
        <f>F58</f>
        <v>807</v>
      </c>
      <c r="H75" s="6">
        <f>G78</f>
        <v>864.85806991262859</v>
      </c>
      <c r="I75" s="6">
        <f t="shared" ref="I75:K75" si="69">H78</f>
        <v>942.5571374078263</v>
      </c>
      <c r="J75" s="6">
        <f t="shared" si="69"/>
        <v>1041.9911158912021</v>
      </c>
      <c r="K75" s="6">
        <f t="shared" si="69"/>
        <v>1165.2347014116274</v>
      </c>
    </row>
    <row r="76" spans="1:11" x14ac:dyDescent="0.25">
      <c r="C76" t="s">
        <v>58</v>
      </c>
      <c r="G76" s="6">
        <f>G16</f>
        <v>207.85806991262859</v>
      </c>
      <c r="H76" s="6">
        <f t="shared" ref="H76:K76" si="70">H16</f>
        <v>227.6990674951978</v>
      </c>
      <c r="I76" s="6">
        <f t="shared" si="70"/>
        <v>249.43397848337571</v>
      </c>
      <c r="J76" s="6">
        <f t="shared" si="70"/>
        <v>273.24358552042526</v>
      </c>
      <c r="K76" s="6">
        <f t="shared" si="70"/>
        <v>299.32592777464754</v>
      </c>
    </row>
    <row r="77" spans="1:11" x14ac:dyDescent="0.25">
      <c r="C77" t="s">
        <v>70</v>
      </c>
      <c r="G77" s="10">
        <v>-150</v>
      </c>
      <c r="H77" s="10">
        <v>-150</v>
      </c>
      <c r="I77" s="10">
        <v>-150</v>
      </c>
      <c r="J77" s="10">
        <v>-150</v>
      </c>
      <c r="K77" s="10">
        <v>-150</v>
      </c>
    </row>
    <row r="78" spans="1:11" x14ac:dyDescent="0.25">
      <c r="C78" s="4" t="s">
        <v>71</v>
      </c>
      <c r="D78" s="4"/>
      <c r="E78" s="4"/>
      <c r="F78" s="4"/>
      <c r="G78" s="7">
        <f>SUM(G75:G77)</f>
        <v>864.85806991262859</v>
      </c>
      <c r="H78" s="7">
        <f t="shared" ref="H78:K78" si="71">SUM(H75:H77)</f>
        <v>942.5571374078263</v>
      </c>
      <c r="I78" s="7">
        <f t="shared" si="71"/>
        <v>1041.9911158912021</v>
      </c>
      <c r="J78" s="7">
        <f t="shared" si="71"/>
        <v>1165.2347014116274</v>
      </c>
      <c r="K78" s="7">
        <f t="shared" si="71"/>
        <v>1314.560629186275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Stevens, Gavin Peter</dc:creator>
  <cp:lastModifiedBy>Stevens, Gavin Peter</cp:lastModifiedBy>
  <dcterms:created xsi:type="dcterms:W3CDTF">2026-09-01T15:21:35Z</dcterms:created>
  <dcterms:modified xsi:type="dcterms:W3CDTF">2026-09-01T16:59:17Z</dcterms:modified>
</cp:coreProperties>
</file>